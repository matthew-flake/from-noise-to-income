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 calculator" sheetId="2" state="visible" r:id="rId4"/>
    <sheet name="Service calculator" sheetId="3" state="visible" r:id="rId5"/>
    <sheet name="License register" sheetId="4" state="visible" r:id="rId6"/>
    <sheet name="QC sheet" sheetId="5" state="visible" r:id="rId7"/>
    <sheet name="Demand te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Example from Chapter 20 (P1 poster set).</t>
        </r>
      </text>
    </comment>
    <comment ref="B5" authorId="0">
      <text>
        <r>
          <rPr>
            <sz val="10"/>
            <rFont val="Arial"/>
            <family val="2"/>
          </rPr>
          <t xml:space="preserve">Etsy example: $0.20 listing + 6.5% transaction + payment processing ~ 10-15%. Check etsy.com/legal/fees.</t>
        </r>
      </text>
    </comment>
    <comment ref="B6" authorId="0">
      <text>
        <r>
          <rPr>
            <sz val="10"/>
            <rFont val="Arial"/>
            <family val="2"/>
          </rPr>
          <t xml:space="preserve">E.g. printing or base price for print-on-demand; 0 for a pure digital download.</t>
        </r>
      </text>
    </comment>
    <comment ref="B7" authorId="0">
      <text>
        <r>
          <rPr>
            <sz val="10"/>
            <rFont val="Arial"/>
            <family val="2"/>
          </rPr>
          <t xml:space="preserve">Example: test ads $50 + editor $12 + six listing renewals $1.20.</t>
        </r>
      </text>
    </comment>
    <comment ref="B8" authorId="0">
      <text>
        <r>
          <rPr>
            <sz val="10"/>
            <rFont val="Arial"/>
            <family val="2"/>
          </rPr>
          <t xml:space="preserve">Hours to make the first collection.</t>
        </r>
      </text>
    </comment>
    <comment ref="B9" authorId="0">
      <text>
        <r>
          <rPr>
            <sz val="10"/>
            <rFont val="Arial"/>
            <family val="2"/>
          </rPr>
          <t xml:space="preserve">Shop admin, messages, listings.</t>
        </r>
      </text>
    </comment>
    <comment ref="B10" authorId="0">
      <text>
        <r>
          <rPr>
            <sz val="10"/>
            <rFont val="Arial"/>
            <family val="2"/>
          </rPr>
          <t xml:space="preserve">What your time is worth to you - the book uses $20.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Example from Chapter 20.</t>
        </r>
      </text>
    </comment>
    <comment ref="B5" authorId="0">
      <text>
        <r>
          <rPr>
            <sz val="10"/>
            <rFont val="Arial"/>
            <family val="2"/>
          </rPr>
          <t xml:space="preserve">0.5 + 2 + 1 + 0.5 hours in the book's example.</t>
        </r>
      </text>
    </comment>
    <comment ref="B6" authorId="0">
      <text>
        <r>
          <rPr>
            <sz val="10"/>
            <rFont val="Arial"/>
            <family val="2"/>
          </rPr>
          <t xml:space="preserve">Assumes about 1 job per 10 contacts.</t>
        </r>
      </text>
    </comment>
    <comment ref="B7" authorId="0">
      <text>
        <r>
          <rPr>
            <sz val="10"/>
            <rFont val="Arial"/>
            <family val="2"/>
          </rPr>
          <t xml:space="preserve">E.g. an editor subscription.</t>
        </r>
      </text>
    </comment>
    <comment ref="B8" authorId="0">
      <text>
        <r>
          <rPr>
            <sz val="10"/>
            <rFont val="Arial"/>
            <family val="2"/>
          </rPr>
          <t xml:space="preserve">The rate you want to earn.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Fill in the date YOU read the license file. Licenses change - re-check before every paid project.</t>
        </r>
      </text>
    </comment>
  </commentList>
</comments>
</file>

<file path=xl/sharedStrings.xml><?xml version="1.0" encoding="utf-8"?>
<sst xmlns="http://schemas.openxmlformats.org/spreadsheetml/2006/main" count="168" uniqueCount="124">
  <si>
    <t xml:space="preserve">Business templates - From Noise to Income (Chapters 2, 4, 20, 23)</t>
  </si>
  <si>
    <t xml:space="preserve">How to use</t>
  </si>
  <si>
    <t xml:space="preserve">Yellow cells with blue numbers are inputs: replace them with your own numbers.</t>
  </si>
  <si>
    <t xml:space="preserve">Black cells are formulas: they recalculate automatically. Don't type over them.</t>
  </si>
  <si>
    <t xml:space="preserve">Every sheet starts with one example row so you can see the expected format - overwrite it.</t>
  </si>
  <si>
    <t xml:space="preserve">Sheets</t>
  </si>
  <si>
    <t xml:space="preserve">Product calculator - a digital product or print-on-demand item: break-even and three scenarios (Chapter 20, Calculation 1).</t>
  </si>
  <si>
    <t xml:space="preserve">Service calculator - a client package: effective hourly rate and the minimum price for your target rate (Chapter 20, Calculation 2).</t>
  </si>
  <si>
    <t xml:space="preserve">License register - every model file you use, its license and category A/B/C (Chapter 2).</t>
  </si>
  <si>
    <t xml:space="preserve">QC sheet - keep / fix / reject for every image in a batch (Chapter 23).</t>
  </si>
  <si>
    <t xml:space="preserve">Demand tests - what you tested, decision criteria written BEFORE the test, result (Chapter 4).</t>
  </si>
  <si>
    <t xml:space="preserve">Examples are illustrations, not promises. Fees and royalties change: check them at the source before you price.</t>
  </si>
  <si>
    <t xml:space="preserve">Not legal, tax or financial advice. License: MIT - use and adapt freely. (c) 2026 Matthew Flake</t>
  </si>
  <si>
    <t xml:space="preserve">Product calculator (digital product / print-on-demand)</t>
  </si>
  <si>
    <t xml:space="preserve">Example: the P1 botanical poster set from Chapter 20. Replace the yellow cells.</t>
  </si>
  <si>
    <t xml:space="preserve">Inputs</t>
  </si>
  <si>
    <t xml:space="preserve">Price per sale ($)</t>
  </si>
  <si>
    <t xml:space="preserve">Platform + payment fees (% of price)</t>
  </si>
  <si>
    <t xml:space="preserve">Variable cost per unit ($)</t>
  </si>
  <si>
    <t xml:space="preserve">Monthly fixed costs ($)</t>
  </si>
  <si>
    <t xml:space="preserve">One-off setup hours</t>
  </si>
  <si>
    <t xml:space="preserve">Monthly admin hours</t>
  </si>
  <si>
    <t xml:space="preserve">Value of one hour of your time ($)</t>
  </si>
  <si>
    <t xml:space="preserve">Results</t>
  </si>
  <si>
    <t xml:space="preserve">Net per sale ($)</t>
  </si>
  <si>
    <t xml:space="preserve">Break-even, sales per month (cash)</t>
  </si>
  <si>
    <t xml:space="preserve">Break-even incl. your admin time</t>
  </si>
  <si>
    <t xml:space="preserve">Value of setup time ($)</t>
  </si>
  <si>
    <t xml:space="preserve">Scenario</t>
  </si>
  <si>
    <t xml:space="preserve">Sales per month</t>
  </si>
  <si>
    <t xml:space="preserve">Revenue ($)</t>
  </si>
  <si>
    <t xml:space="preserve">Cash result ($)</t>
  </si>
  <si>
    <t xml:space="preserve">Economic result ($)</t>
  </si>
  <si>
    <t xml:space="preserve">Months to pay back setup</t>
  </si>
  <si>
    <t xml:space="preserve">Cautious</t>
  </si>
  <si>
    <t xml:space="preserve">Base</t>
  </si>
  <si>
    <t xml:space="preserve">Optimistic</t>
  </si>
  <si>
    <t xml:space="preserve">Cash result = revenue minus fees and costs. Economic result = cash result minus the value of your admin time. Setup pays back only when the economic result is positive.</t>
  </si>
  <si>
    <t xml:space="preserve">Service calculator (client packages)</t>
  </si>
  <si>
    <t xml:space="preserve">Example: 10 product shots for a shop (P8), Chapter 20. Replace the yellow cells.</t>
  </si>
  <si>
    <t xml:space="preserve">Price per package ($)</t>
  </si>
  <si>
    <t xml:space="preserve">Hours per job (brief, production, revisions, communication)</t>
  </si>
  <si>
    <t xml:space="preserve">Hours to win one job</t>
  </si>
  <si>
    <t xml:space="preserve">Target hourly rate ($)</t>
  </si>
  <si>
    <t xml:space="preserve">Jobs per month</t>
  </si>
  <si>
    <t xml:space="preserve">Hours</t>
  </si>
  <si>
    <t xml:space="preserve">Effective rate ($/h)</t>
  </si>
  <si>
    <t xml:space="preserve">Min. price for target ($)</t>
  </si>
  <si>
    <t xml:space="preserve">Every extra hour of revisions lowers the effective rate - that is why the offer template limits revision rounds.</t>
  </si>
  <si>
    <t xml:space="preserve">File</t>
  </si>
  <si>
    <t xml:space="preserve">Version</t>
  </si>
  <si>
    <t xml:space="preserve">Official source</t>
  </si>
  <si>
    <t xml:space="preserve">License</t>
  </si>
  <si>
    <t xml:space="preserve">Permitted use</t>
  </si>
  <si>
    <t xml:space="preserve">Restrictions</t>
  </si>
  <si>
    <t xml:space="preserve">Attribution</t>
  </si>
  <si>
    <t xml:space="preserve">Date checked</t>
  </si>
  <si>
    <t xml:space="preserve">Category (A/B/C)</t>
  </si>
  <si>
    <t xml:space="preserve">z_image_turbo_bf16.safetensors</t>
  </si>
  <si>
    <t xml:space="preserve">Turbo</t>
  </si>
  <si>
    <t xml:space="preserve">https://huggingface.co/Tongyi-MAI/Z-Image-Turbo</t>
  </si>
  <si>
    <t xml:space="preserve">Apache 2.0</t>
  </si>
  <si>
    <t xml:space="preserve">Digital products, services, print</t>
  </si>
  <si>
    <t xml:space="preserve">Keep license notice if you redistribute</t>
  </si>
  <si>
    <t xml:space="preserve">No</t>
  </si>
  <si>
    <t xml:space="preserve">A</t>
  </si>
  <si>
    <t xml:space="preserve">qwen_3_4b.safetensors (text encoder)</t>
  </si>
  <si>
    <t xml:space="preserve">Qwen3-4B</t>
  </si>
  <si>
    <t xml:space="preserve">https://huggingface.co/Qwen/Qwen3-4B</t>
  </si>
  <si>
    <t xml:space="preserve">ae.safetensors (VAE)</t>
  </si>
  <si>
    <t xml:space="preserve">FLUX.1 [schnell]</t>
  </si>
  <si>
    <t xml:space="preserve">https://huggingface.co/black-forest-labs/FLUX.1-schnell</t>
  </si>
  <si>
    <t xml:space="preserve">flux-2-klein-4b-fp8.safetensors</t>
  </si>
  <si>
    <t xml:space="preserve">4B only</t>
  </si>
  <si>
    <t xml:space="preserve">https://huggingface.co/black-forest-labs/FLUX.2-klein-4B</t>
  </si>
  <si>
    <t xml:space="preserve">The 9B variant is non-commercial</t>
  </si>
  <si>
    <t xml:space="preserve">flux2-vae.safetensors</t>
  </si>
  <si>
    <t xml:space="preserve">FLUX.2</t>
  </si>
  <si>
    <t xml:space="preserve">https://huggingface.co/Comfy-Org/flux2-klein-4B</t>
  </si>
  <si>
    <t xml:space="preserve">4x_NMKD-Siax_200k.pth</t>
  </si>
  <si>
    <t xml:space="preserve">200k</t>
  </si>
  <si>
    <t xml:space="preserve">https://openmodeldb.info</t>
  </si>
  <si>
    <t xml:space="preserve">WTFPL</t>
  </si>
  <si>
    <t xml:space="preserve">Any</t>
  </si>
  <si>
    <t xml:space="preserve">BiRefNet-general</t>
  </si>
  <si>
    <t xml:space="preserve">general</t>
  </si>
  <si>
    <t xml:space="preserve">https://huggingface.co/ZhengPeng7/BiRefNet</t>
  </si>
  <si>
    <t xml:space="preserve">MIT</t>
  </si>
  <si>
    <t xml:space="preserve">LaMa</t>
  </si>
  <si>
    <t xml:space="preserve">big-lama</t>
  </si>
  <si>
    <t xml:space="preserve">https://github.com/advimman/lama</t>
  </si>
  <si>
    <t xml:space="preserve">Depth Anything V2 Small</t>
  </si>
  <si>
    <t xml:space="preserve">Small only</t>
  </si>
  <si>
    <t xml:space="preserve">https://github.com/DepthAnything/Depth-Anything-V2</t>
  </si>
  <si>
    <t xml:space="preserve">Base/Large are CC BY-NC 4.0</t>
  </si>
  <si>
    <t xml:space="preserve">sd_xl_base_1.0.safetensors</t>
  </si>
  <si>
    <t xml:space="preserve">1.0</t>
  </si>
  <si>
    <t xml:space="preserve">https://huggingface.co/stabilityai/stable-diffusion-xl-base-1.0</t>
  </si>
  <si>
    <t xml:space="preserve">CreativeML Open RAIL++-M</t>
  </si>
  <si>
    <t xml:space="preserve">List of prohibited uses in the license</t>
  </si>
  <si>
    <t xml:space="preserve">Starter kit pre-filled from Appendix B (October 2026). A = commercial use confirmed, B = check first, C = not for money.</t>
  </si>
  <si>
    <t xml:space="preserve">Subject</t>
  </si>
  <si>
    <t xml:space="preserve">Score 1-5</t>
  </si>
  <si>
    <t xml:space="preserve">Flaws</t>
  </si>
  <si>
    <t xml:space="preserve">Decision (keep/fix/reject)</t>
  </si>
  <si>
    <t xml:space="preserve">Images checked</t>
  </si>
  <si>
    <t xml:space="preserve">P14_zen/bamboo_1_00001_.png</t>
  </si>
  <si>
    <t xml:space="preserve">bamboo forest in morning mist</t>
  </si>
  <si>
    <t xml:space="preserve">slight halo on the sun; fine at thumbnail size</t>
  </si>
  <si>
    <t xml:space="preserve">keep</t>
  </si>
  <si>
    <t xml:space="preserve">Kept</t>
  </si>
  <si>
    <t xml:space="preserve">Survival rate</t>
  </si>
  <si>
    <t xml:space="preserve">Starting rule: 30-40% of a series survives. Higher? You may be judging too gently.</t>
  </si>
  <si>
    <t xml:space="preserve">What you tested</t>
  </si>
  <si>
    <t xml:space="preserve">Channel</t>
  </si>
  <si>
    <t xml:space="preserve">Start date</t>
  </si>
  <si>
    <t xml:space="preserve">Cost ($)</t>
  </si>
  <si>
    <t xml:space="preserve">Go / change / drop criteria (written BEFORE)</t>
  </si>
  <si>
    <t xml:space="preserve">Result after the test</t>
  </si>
  <si>
    <t xml:space="preserve">Decision</t>
  </si>
  <si>
    <t xml:space="preserve">3 botanical prints, 1 mockup each</t>
  </si>
  <si>
    <t xml:space="preserve">Etsy</t>
  </si>
  <si>
    <t xml:space="preserve">2026-11-02</t>
  </si>
  <si>
    <t xml:space="preserve">Go: 1 sale or 3 real questions in 3 weeks. Change: many views, no sales. Drop: 2 tests with no reaction.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</si>
</sst>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0.0"/>
    <numFmt numFmtId="168" formatCode="0"/>
    <numFmt numFmtId="169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34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5" t="s">
        <v>13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8" t="s">
        <v>15</v>
      </c>
      <c r="B3" s="6"/>
      <c r="C3" s="6"/>
      <c r="D3" s="6"/>
      <c r="E3" s="6"/>
      <c r="F3" s="6"/>
    </row>
    <row r="4" customFormat="false" ht="15" hidden="false" customHeight="false" outlineLevel="0" collapsed="false">
      <c r="A4" s="9" t="s">
        <v>16</v>
      </c>
      <c r="B4" s="10" t="n">
        <v>12</v>
      </c>
      <c r="C4" s="6"/>
      <c r="D4" s="6"/>
      <c r="E4" s="6"/>
      <c r="F4" s="6"/>
    </row>
    <row r="5" customFormat="false" ht="15" hidden="false" customHeight="false" outlineLevel="0" collapsed="false">
      <c r="A5" s="9" t="s">
        <v>17</v>
      </c>
      <c r="B5" s="11" t="n">
        <v>0.15</v>
      </c>
      <c r="C5" s="6"/>
      <c r="D5" s="6"/>
      <c r="E5" s="6"/>
      <c r="F5" s="6"/>
    </row>
    <row r="6" customFormat="false" ht="15" hidden="false" customHeight="false" outlineLevel="0" collapsed="false">
      <c r="A6" s="9" t="s">
        <v>18</v>
      </c>
      <c r="B6" s="10" t="n">
        <v>0</v>
      </c>
      <c r="C6" s="6"/>
      <c r="D6" s="6"/>
      <c r="E6" s="6"/>
      <c r="F6" s="6"/>
    </row>
    <row r="7" customFormat="false" ht="15" hidden="false" customHeight="false" outlineLevel="0" collapsed="false">
      <c r="A7" s="9" t="s">
        <v>19</v>
      </c>
      <c r="B7" s="10" t="n">
        <v>63.2</v>
      </c>
      <c r="C7" s="6"/>
      <c r="D7" s="6"/>
      <c r="E7" s="6"/>
      <c r="F7" s="6"/>
    </row>
    <row r="8" customFormat="false" ht="15" hidden="false" customHeight="false" outlineLevel="0" collapsed="false">
      <c r="A8" s="9" t="s">
        <v>20</v>
      </c>
      <c r="B8" s="12" t="n">
        <v>4</v>
      </c>
      <c r="C8" s="6"/>
      <c r="D8" s="6"/>
      <c r="E8" s="6"/>
      <c r="F8" s="6"/>
    </row>
    <row r="9" customFormat="false" ht="15" hidden="false" customHeight="false" outlineLevel="0" collapsed="false">
      <c r="A9" s="9" t="s">
        <v>21</v>
      </c>
      <c r="B9" s="12" t="n">
        <v>3</v>
      </c>
      <c r="C9" s="6"/>
      <c r="D9" s="6"/>
      <c r="E9" s="6"/>
      <c r="F9" s="6"/>
    </row>
    <row r="10" customFormat="false" ht="15" hidden="false" customHeight="false" outlineLevel="0" collapsed="false">
      <c r="A10" s="9" t="s">
        <v>22</v>
      </c>
      <c r="B10" s="10" t="n">
        <v>20</v>
      </c>
      <c r="C10" s="6"/>
      <c r="D10" s="6"/>
      <c r="E10" s="6"/>
      <c r="F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15" hidden="false" customHeight="false" outlineLevel="0" collapsed="false">
      <c r="A12" s="8" t="s">
        <v>23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9" t="s">
        <v>24</v>
      </c>
      <c r="B13" s="13" t="n">
        <f aca="false">B4*(1-B5)-B6</f>
        <v>10.2</v>
      </c>
      <c r="C13" s="6"/>
      <c r="D13" s="6"/>
      <c r="E13" s="6"/>
      <c r="F13" s="6"/>
    </row>
    <row r="14" customFormat="false" ht="15" hidden="false" customHeight="false" outlineLevel="0" collapsed="false">
      <c r="A14" s="9" t="s">
        <v>25</v>
      </c>
      <c r="B14" s="14" t="n">
        <f aca="false">IF(B13&lt;=0,"n/a",ROUNDUP(B7/B13,0))</f>
        <v>7</v>
      </c>
      <c r="C14" s="6"/>
      <c r="D14" s="6"/>
      <c r="E14" s="6"/>
      <c r="F14" s="6"/>
    </row>
    <row r="15" customFormat="false" ht="15" hidden="false" customHeight="false" outlineLevel="0" collapsed="false">
      <c r="A15" s="9" t="s">
        <v>26</v>
      </c>
      <c r="B15" s="14" t="n">
        <f aca="false">IF(B13&lt;=0,"n/a",ROUNDUP((B7+B9*B10)/B13,0))</f>
        <v>13</v>
      </c>
      <c r="C15" s="6"/>
      <c r="D15" s="6"/>
      <c r="E15" s="6"/>
      <c r="F15" s="6"/>
    </row>
    <row r="16" customFormat="false" ht="15" hidden="false" customHeight="false" outlineLevel="0" collapsed="false">
      <c r="A16" s="9" t="s">
        <v>27</v>
      </c>
      <c r="B16" s="13" t="n">
        <f aca="false">B8*B10</f>
        <v>80</v>
      </c>
      <c r="C16" s="6"/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26.85" hidden="false" customHeight="false" outlineLevel="0" collapsed="false">
      <c r="A18" s="15" t="s">
        <v>28</v>
      </c>
      <c r="B18" s="15" t="s">
        <v>29</v>
      </c>
      <c r="C18" s="15" t="s">
        <v>30</v>
      </c>
      <c r="D18" s="15" t="s">
        <v>31</v>
      </c>
      <c r="E18" s="15" t="s">
        <v>32</v>
      </c>
      <c r="F18" s="15" t="s">
        <v>33</v>
      </c>
    </row>
    <row r="19" customFormat="false" ht="15" hidden="false" customHeight="false" outlineLevel="0" collapsed="false">
      <c r="A19" s="9" t="s">
        <v>34</v>
      </c>
      <c r="B19" s="16" t="n">
        <v>3</v>
      </c>
      <c r="C19" s="13" t="n">
        <f aca="false">B19*$B$4</f>
        <v>36</v>
      </c>
      <c r="D19" s="13" t="n">
        <f aca="false">B19*$B$13-$B$7</f>
        <v>-32.6</v>
      </c>
      <c r="E19" s="13" t="n">
        <f aca="false">D19-$B$9*$B$10</f>
        <v>-92.6</v>
      </c>
      <c r="F19" s="17" t="str">
        <f aca="false">IF(E19&gt;0,$B$16/E19,"never")</f>
        <v>never</v>
      </c>
    </row>
    <row r="20" customFormat="false" ht="15" hidden="false" customHeight="false" outlineLevel="0" collapsed="false">
      <c r="A20" s="9" t="s">
        <v>35</v>
      </c>
      <c r="B20" s="16" t="n">
        <v>15</v>
      </c>
      <c r="C20" s="13" t="n">
        <f aca="false">B20*$B$4</f>
        <v>180</v>
      </c>
      <c r="D20" s="13" t="n">
        <f aca="false">B20*$B$13-$B$7</f>
        <v>89.8</v>
      </c>
      <c r="E20" s="13" t="n">
        <f aca="false">D20-$B$9*$B$10</f>
        <v>29.8</v>
      </c>
      <c r="F20" s="17" t="n">
        <f aca="false">IF(E20&gt;0,$B$16/E20,"never")</f>
        <v>2.68456375838926</v>
      </c>
    </row>
    <row r="21" customFormat="false" ht="15" hidden="false" customHeight="false" outlineLevel="0" collapsed="false">
      <c r="A21" s="9" t="s">
        <v>36</v>
      </c>
      <c r="B21" s="16" t="n">
        <v>40</v>
      </c>
      <c r="C21" s="13" t="n">
        <f aca="false">B21*$B$4</f>
        <v>480</v>
      </c>
      <c r="D21" s="13" t="n">
        <f aca="false">B21*$B$13-$B$7</f>
        <v>344.8</v>
      </c>
      <c r="E21" s="13" t="n">
        <f aca="false">D21-$B$9*$B$10</f>
        <v>284.8</v>
      </c>
      <c r="F21" s="17" t="n">
        <f aca="false">IF(E21&gt;0,$B$16/E21,"never")</f>
        <v>0.280898876404494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</row>
    <row r="23" customFormat="false" ht="15" hidden="false" customHeight="true" outlineLevel="0" collapsed="false">
      <c r="A23" s="18" t="s">
        <v>37</v>
      </c>
      <c r="B23" s="18"/>
      <c r="C23" s="18"/>
      <c r="D23" s="18"/>
      <c r="E23" s="18"/>
      <c r="F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</row>
  </sheetData>
  <mergeCells count="1">
    <mergeCell ref="A23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5" t="s">
        <v>38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39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8" t="s">
        <v>15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2" t="s">
        <v>40</v>
      </c>
      <c r="B4" s="10" t="n">
        <v>150</v>
      </c>
      <c r="C4" s="6"/>
      <c r="D4" s="6"/>
      <c r="E4" s="6"/>
      <c r="F4" s="6"/>
      <c r="G4" s="6"/>
    </row>
    <row r="5" customFormat="false" ht="26.85" hidden="false" customHeight="false" outlineLevel="0" collapsed="false">
      <c r="A5" s="2" t="s">
        <v>41</v>
      </c>
      <c r="B5" s="12" t="n">
        <v>4</v>
      </c>
      <c r="C5" s="6"/>
      <c r="D5" s="6"/>
      <c r="E5" s="6"/>
      <c r="F5" s="6"/>
      <c r="G5" s="6"/>
    </row>
    <row r="6" customFormat="false" ht="15" hidden="false" customHeight="false" outlineLevel="0" collapsed="false">
      <c r="A6" s="2" t="s">
        <v>42</v>
      </c>
      <c r="B6" s="12" t="n">
        <v>3</v>
      </c>
      <c r="C6" s="6"/>
      <c r="D6" s="6"/>
      <c r="E6" s="6"/>
      <c r="F6" s="6"/>
      <c r="G6" s="6"/>
    </row>
    <row r="7" customFormat="false" ht="15" hidden="false" customHeight="false" outlineLevel="0" collapsed="false">
      <c r="A7" s="2" t="s">
        <v>19</v>
      </c>
      <c r="B7" s="10" t="n">
        <v>12</v>
      </c>
      <c r="C7" s="6"/>
      <c r="D7" s="6"/>
      <c r="E7" s="6"/>
      <c r="F7" s="6"/>
      <c r="G7" s="6"/>
    </row>
    <row r="8" customFormat="false" ht="15" hidden="false" customHeight="false" outlineLevel="0" collapsed="false">
      <c r="A8" s="2" t="s">
        <v>43</v>
      </c>
      <c r="B8" s="10" t="n">
        <v>20</v>
      </c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26.85" hidden="false" customHeight="false" outlineLevel="0" collapsed="false">
      <c r="A11" s="15" t="s">
        <v>28</v>
      </c>
      <c r="B11" s="15" t="s">
        <v>44</v>
      </c>
      <c r="C11" s="15" t="s">
        <v>30</v>
      </c>
      <c r="D11" s="15" t="s">
        <v>31</v>
      </c>
      <c r="E11" s="15" t="s">
        <v>45</v>
      </c>
      <c r="F11" s="15" t="s">
        <v>46</v>
      </c>
      <c r="G11" s="15" t="s">
        <v>47</v>
      </c>
    </row>
    <row r="12" customFormat="false" ht="15" hidden="false" customHeight="false" outlineLevel="0" collapsed="false">
      <c r="A12" s="9" t="s">
        <v>34</v>
      </c>
      <c r="B12" s="16" t="n">
        <v>1</v>
      </c>
      <c r="C12" s="13" t="n">
        <f aca="false">B12*$B$4</f>
        <v>150</v>
      </c>
      <c r="D12" s="13" t="n">
        <f aca="false">C12-$B$7</f>
        <v>138</v>
      </c>
      <c r="E12" s="17" t="n">
        <f aca="false">B12*($B$5+$B$6)</f>
        <v>7</v>
      </c>
      <c r="F12" s="13" t="n">
        <f aca="false">IF(E12&gt;0,D12/E12,0)</f>
        <v>19.7142857142857</v>
      </c>
      <c r="G12" s="13" t="n">
        <f aca="false">IF(B12&gt;0,$B$8*($B$5+$B$6)+$B$7/B12,0)</f>
        <v>152</v>
      </c>
    </row>
    <row r="13" customFormat="false" ht="15" hidden="false" customHeight="false" outlineLevel="0" collapsed="false">
      <c r="A13" s="9" t="s">
        <v>35</v>
      </c>
      <c r="B13" s="16" t="n">
        <v>3</v>
      </c>
      <c r="C13" s="13" t="n">
        <f aca="false">B13*$B$4</f>
        <v>450</v>
      </c>
      <c r="D13" s="13" t="n">
        <f aca="false">C13-$B$7</f>
        <v>438</v>
      </c>
      <c r="E13" s="17" t="n">
        <f aca="false">B13*($B$5+$B$6)</f>
        <v>21</v>
      </c>
      <c r="F13" s="13" t="n">
        <f aca="false">IF(E13&gt;0,D13/E13,0)</f>
        <v>20.8571428571429</v>
      </c>
      <c r="G13" s="13" t="n">
        <f aca="false">IF(B13&gt;0,$B$8*($B$5+$B$6)+$B$7/B13,0)</f>
        <v>144</v>
      </c>
    </row>
    <row r="14" customFormat="false" ht="15" hidden="false" customHeight="false" outlineLevel="0" collapsed="false">
      <c r="A14" s="9" t="s">
        <v>36</v>
      </c>
      <c r="B14" s="16" t="n">
        <v>6</v>
      </c>
      <c r="C14" s="13" t="n">
        <f aca="false">B14*$B$4</f>
        <v>900</v>
      </c>
      <c r="D14" s="13" t="n">
        <f aca="false">C14-$B$7</f>
        <v>888</v>
      </c>
      <c r="E14" s="17" t="n">
        <f aca="false">B14*($B$5+$B$6)</f>
        <v>42</v>
      </c>
      <c r="F14" s="13" t="n">
        <f aca="false">IF(E14&gt;0,D14/E14,0)</f>
        <v>21.1428571428571</v>
      </c>
      <c r="G14" s="13" t="n">
        <f aca="false">IF(B14&gt;0,$B$8*($B$5+$B$6)+$B$7/B14,0)</f>
        <v>142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7" t="s">
        <v>48</v>
      </c>
      <c r="B16" s="6"/>
      <c r="C16" s="6"/>
      <c r="D16" s="6"/>
      <c r="E16" s="6"/>
      <c r="F16" s="6"/>
      <c r="G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5" t="s">
        <v>49</v>
      </c>
      <c r="B1" s="15" t="s">
        <v>50</v>
      </c>
      <c r="C1" s="15" t="s">
        <v>51</v>
      </c>
      <c r="D1" s="15" t="s">
        <v>52</v>
      </c>
      <c r="E1" s="15" t="s">
        <v>53</v>
      </c>
      <c r="F1" s="15" t="s">
        <v>54</v>
      </c>
      <c r="G1" s="15" t="s">
        <v>55</v>
      </c>
      <c r="H1" s="15" t="s">
        <v>56</v>
      </c>
      <c r="I1" s="15" t="s">
        <v>57</v>
      </c>
    </row>
    <row r="2" customFormat="false" ht="26.85" hidden="false" customHeight="false" outlineLevel="0" collapsed="false">
      <c r="A2" s="19" t="s">
        <v>58</v>
      </c>
      <c r="B2" s="19" t="s">
        <v>59</v>
      </c>
      <c r="C2" s="19" t="s">
        <v>60</v>
      </c>
      <c r="D2" s="19" t="s">
        <v>61</v>
      </c>
      <c r="E2" s="19" t="s">
        <v>62</v>
      </c>
      <c r="F2" s="19" t="s">
        <v>63</v>
      </c>
      <c r="G2" s="19" t="s">
        <v>64</v>
      </c>
      <c r="H2" s="20"/>
      <c r="I2" s="19" t="s">
        <v>65</v>
      </c>
    </row>
    <row r="3" customFormat="false" ht="26.85" hidden="false" customHeight="false" outlineLevel="0" collapsed="false">
      <c r="A3" s="19" t="s">
        <v>66</v>
      </c>
      <c r="B3" s="19" t="s">
        <v>67</v>
      </c>
      <c r="C3" s="19" t="s">
        <v>68</v>
      </c>
      <c r="D3" s="19" t="s">
        <v>61</v>
      </c>
      <c r="E3" s="19" t="s">
        <v>62</v>
      </c>
      <c r="F3" s="19" t="s">
        <v>63</v>
      </c>
      <c r="G3" s="19" t="s">
        <v>64</v>
      </c>
      <c r="H3" s="20"/>
      <c r="I3" s="19" t="s">
        <v>65</v>
      </c>
    </row>
    <row r="4" customFormat="false" ht="26.85" hidden="false" customHeight="false" outlineLevel="0" collapsed="false">
      <c r="A4" s="19" t="s">
        <v>69</v>
      </c>
      <c r="B4" s="19" t="s">
        <v>70</v>
      </c>
      <c r="C4" s="19" t="s">
        <v>71</v>
      </c>
      <c r="D4" s="19" t="s">
        <v>61</v>
      </c>
      <c r="E4" s="19" t="s">
        <v>62</v>
      </c>
      <c r="F4" s="19" t="s">
        <v>63</v>
      </c>
      <c r="G4" s="19" t="s">
        <v>64</v>
      </c>
      <c r="H4" s="20"/>
      <c r="I4" s="19" t="s">
        <v>65</v>
      </c>
    </row>
    <row r="5" customFormat="false" ht="26.85" hidden="false" customHeight="false" outlineLevel="0" collapsed="false">
      <c r="A5" s="19" t="s">
        <v>72</v>
      </c>
      <c r="B5" s="19" t="s">
        <v>73</v>
      </c>
      <c r="C5" s="19" t="s">
        <v>74</v>
      </c>
      <c r="D5" s="19" t="s">
        <v>61</v>
      </c>
      <c r="E5" s="19" t="s">
        <v>62</v>
      </c>
      <c r="F5" s="19" t="s">
        <v>75</v>
      </c>
      <c r="G5" s="19" t="s">
        <v>64</v>
      </c>
      <c r="H5" s="20"/>
      <c r="I5" s="19" t="s">
        <v>65</v>
      </c>
    </row>
    <row r="6" customFormat="false" ht="26.85" hidden="false" customHeight="false" outlineLevel="0" collapsed="false">
      <c r="A6" s="19" t="s">
        <v>76</v>
      </c>
      <c r="B6" s="19" t="s">
        <v>77</v>
      </c>
      <c r="C6" s="19" t="s">
        <v>78</v>
      </c>
      <c r="D6" s="19" t="s">
        <v>61</v>
      </c>
      <c r="E6" s="19" t="s">
        <v>62</v>
      </c>
      <c r="F6" s="19"/>
      <c r="G6" s="19" t="s">
        <v>64</v>
      </c>
      <c r="H6" s="20"/>
      <c r="I6" s="19" t="s">
        <v>65</v>
      </c>
    </row>
    <row r="7" customFormat="false" ht="15" hidden="false" customHeight="false" outlineLevel="0" collapsed="false">
      <c r="A7" s="19" t="s">
        <v>79</v>
      </c>
      <c r="B7" s="19" t="s">
        <v>80</v>
      </c>
      <c r="C7" s="19" t="s">
        <v>81</v>
      </c>
      <c r="D7" s="19" t="s">
        <v>82</v>
      </c>
      <c r="E7" s="19" t="s">
        <v>83</v>
      </c>
      <c r="F7" s="19"/>
      <c r="G7" s="19" t="s">
        <v>64</v>
      </c>
      <c r="H7" s="20"/>
      <c r="I7" s="19" t="s">
        <v>65</v>
      </c>
    </row>
    <row r="8" customFormat="false" ht="26.85" hidden="false" customHeight="false" outlineLevel="0" collapsed="false">
      <c r="A8" s="19" t="s">
        <v>84</v>
      </c>
      <c r="B8" s="19" t="s">
        <v>85</v>
      </c>
      <c r="C8" s="19" t="s">
        <v>86</v>
      </c>
      <c r="D8" s="19" t="s">
        <v>87</v>
      </c>
      <c r="E8" s="19" t="s">
        <v>83</v>
      </c>
      <c r="F8" s="19" t="s">
        <v>63</v>
      </c>
      <c r="G8" s="19" t="s">
        <v>64</v>
      </c>
      <c r="H8" s="20"/>
      <c r="I8" s="19" t="s">
        <v>65</v>
      </c>
    </row>
    <row r="9" customFormat="false" ht="15" hidden="false" customHeight="false" outlineLevel="0" collapsed="false">
      <c r="A9" s="19" t="s">
        <v>88</v>
      </c>
      <c r="B9" s="19" t="s">
        <v>89</v>
      </c>
      <c r="C9" s="19" t="s">
        <v>90</v>
      </c>
      <c r="D9" s="19" t="s">
        <v>61</v>
      </c>
      <c r="E9" s="19" t="s">
        <v>83</v>
      </c>
      <c r="F9" s="19"/>
      <c r="G9" s="19" t="s">
        <v>64</v>
      </c>
      <c r="H9" s="20"/>
      <c r="I9" s="19" t="s">
        <v>65</v>
      </c>
    </row>
    <row r="10" customFormat="false" ht="26.85" hidden="false" customHeight="false" outlineLevel="0" collapsed="false">
      <c r="A10" s="19" t="s">
        <v>91</v>
      </c>
      <c r="B10" s="19" t="s">
        <v>92</v>
      </c>
      <c r="C10" s="19" t="s">
        <v>93</v>
      </c>
      <c r="D10" s="19" t="s">
        <v>61</v>
      </c>
      <c r="E10" s="19" t="s">
        <v>83</v>
      </c>
      <c r="F10" s="19" t="s">
        <v>94</v>
      </c>
      <c r="G10" s="19" t="s">
        <v>64</v>
      </c>
      <c r="H10" s="20"/>
      <c r="I10" s="19" t="s">
        <v>65</v>
      </c>
    </row>
    <row r="11" customFormat="false" ht="26.85" hidden="false" customHeight="false" outlineLevel="0" collapsed="false">
      <c r="A11" s="19" t="s">
        <v>95</v>
      </c>
      <c r="B11" s="19" t="s">
        <v>96</v>
      </c>
      <c r="C11" s="19" t="s">
        <v>97</v>
      </c>
      <c r="D11" s="19" t="s">
        <v>98</v>
      </c>
      <c r="E11" s="19" t="s">
        <v>62</v>
      </c>
      <c r="F11" s="19" t="s">
        <v>99</v>
      </c>
      <c r="G11" s="19" t="s">
        <v>64</v>
      </c>
      <c r="H11" s="20"/>
      <c r="I11" s="19" t="s">
        <v>65</v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7" t="s">
        <v>100</v>
      </c>
      <c r="B13" s="6"/>
      <c r="C13" s="6"/>
      <c r="D13" s="6"/>
      <c r="E13" s="6"/>
      <c r="F13" s="6"/>
      <c r="G13" s="6"/>
      <c r="H13" s="6"/>
      <c r="I13" s="6"/>
    </row>
  </sheetData>
  <dataValidations count="1">
    <dataValidation allowBlank="true" errorStyle="stop" operator="between" showDropDown="false" showErrorMessage="false" showInputMessage="false" sqref="I2:I20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15" t="s">
        <v>49</v>
      </c>
      <c r="B1" s="15" t="s">
        <v>101</v>
      </c>
      <c r="C1" s="15" t="s">
        <v>102</v>
      </c>
      <c r="D1" s="15" t="s">
        <v>103</v>
      </c>
      <c r="E1" s="15" t="s">
        <v>104</v>
      </c>
      <c r="F1" s="6"/>
      <c r="G1" s="8" t="s">
        <v>105</v>
      </c>
      <c r="H1" s="6" t="n">
        <f aca="false">COUNTA(A2:A1000)</f>
        <v>1</v>
      </c>
    </row>
    <row r="2" customFormat="false" ht="15" hidden="false" customHeight="false" outlineLevel="0" collapsed="false">
      <c r="A2" s="21" t="s">
        <v>106</v>
      </c>
      <c r="B2" s="21" t="s">
        <v>107</v>
      </c>
      <c r="C2" s="21" t="n">
        <v>4</v>
      </c>
      <c r="D2" s="21" t="s">
        <v>108</v>
      </c>
      <c r="E2" s="21" t="s">
        <v>109</v>
      </c>
      <c r="F2" s="6"/>
      <c r="G2" s="8" t="s">
        <v>110</v>
      </c>
      <c r="H2" s="6" t="n">
        <f aca="false">COUNTIF(E2:E1000,"keep")</f>
        <v>1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8" t="s">
        <v>111</v>
      </c>
      <c r="H3" s="22" t="n">
        <f aca="false">IF(H1&gt;0,H2/H1,0)</f>
        <v>1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7" t="s">
        <v>112</v>
      </c>
      <c r="H4" s="6"/>
    </row>
  </sheetData>
  <dataValidations count="2">
    <dataValidation allowBlank="true" errorStyle="stop" operator="between" showDropDown="false" showErrorMessage="false" showInputMessage="false" sqref="C2:C1000" type="whole">
      <formula1>1</formula1>
      <formula2>5</formula2>
    </dataValidation>
    <dataValidation allowBlank="true" errorStyle="stop" operator="between" showDropDown="false" showErrorMessage="false" showInputMessage="false" sqref="E2:E1000" type="list">
      <formula1>"keep,fix,reject"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5" t="s">
        <v>113</v>
      </c>
      <c r="B1" s="15" t="s">
        <v>114</v>
      </c>
      <c r="C1" s="15" t="s">
        <v>115</v>
      </c>
      <c r="D1" s="15" t="s">
        <v>116</v>
      </c>
      <c r="E1" s="15" t="s">
        <v>117</v>
      </c>
      <c r="F1" s="15" t="s">
        <v>118</v>
      </c>
      <c r="G1" s="15" t="s">
        <v>119</v>
      </c>
    </row>
    <row r="2" customFormat="false" ht="39.55" hidden="false" customHeight="false" outlineLevel="0" collapsed="false">
      <c r="A2" s="23" t="s">
        <v>120</v>
      </c>
      <c r="B2" s="23" t="s">
        <v>121</v>
      </c>
      <c r="C2" s="23" t="s">
        <v>122</v>
      </c>
      <c r="D2" s="24" t="n">
        <v>0.6</v>
      </c>
      <c r="E2" s="23" t="s">
        <v>123</v>
      </c>
      <c r="F2" s="23"/>
      <c r="G2" s="23"/>
    </row>
  </sheetData>
  <dataValidations count="1">
    <dataValidation allowBlank="true" errorStyle="stop" operator="between" showDropDown="false" showErrorMessage="false" showInputMessage="false" sqref="G2:G500" type="list">
      <formula1>"go,change,drop"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2026-10-26T21:05:38Z</dcterms:created>
  <dc:creator>openpyxl</dc:creator>
  <dc:description/>
  <dc:language>en-US</dc:language>
  <cp:lastModifiedBy/>
  <dcterms:modified xsi:type="dcterms:W3CDTF">2026-10-26T21:05:38Z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